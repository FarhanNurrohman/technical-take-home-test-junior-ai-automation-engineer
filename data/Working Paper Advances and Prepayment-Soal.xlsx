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YBUOXNcUKwdweafO4cjy21LK65B91YAdPQnU9dPOx4="/>
    </ext>
  </extLst>
</workbook>
</file>

<file path=xl/sharedStrings.xml><?xml version="1.0" encoding="utf-8"?>
<sst xmlns="http://schemas.openxmlformats.org/spreadsheetml/2006/main" count="43" uniqueCount="40">
  <si>
    <t>PT. SETIAWAN DWI TUNGGAL</t>
  </si>
  <si>
    <t>Uang Muka Pihak Ketiga Lainnya</t>
  </si>
  <si>
    <t>110.040.040.000 Advances - Other</t>
  </si>
  <si>
    <t>Date</t>
  </si>
  <si>
    <t>Voucher No</t>
  </si>
  <si>
    <t>Description</t>
  </si>
  <si>
    <t>Amount</t>
  </si>
  <si>
    <t>Realization</t>
  </si>
  <si>
    <t>Saldo</t>
  </si>
  <si>
    <t>No. Voucher</t>
  </si>
  <si>
    <t>PMT2/BK/2601/0062</t>
  </si>
  <si>
    <t>TP01/PO/26010005 FURNITURE SHOW UNIT APARTEMEN THE PARC SM 1132 - BAR STOOL</t>
  </si>
  <si>
    <t>PMT2/BK/2601/0064</t>
  </si>
  <si>
    <t>STYLING APARTEMEN THE PARC SM 1132 (2 BEDROOM)</t>
  </si>
  <si>
    <t>PMT2/BK/2601/0065</t>
  </si>
  <si>
    <t>STYLING APARTEMEN THE PARC SM 1127 (STUDIO)</t>
  </si>
  <si>
    <t>PMT2/BK/2601/0068</t>
  </si>
  <si>
    <t>PAKET MEETING DI KIRANA RESTO &amp; CAFÉ</t>
  </si>
  <si>
    <t>PMT2/BK/2602/0003</t>
  </si>
  <si>
    <t>TALENTA - BUSSINES FLAT FOR 4 MONTHS (TERM-3) PERIODE 15 FEBRUARI 2026 - 14 JUNI 2026</t>
  </si>
  <si>
    <t>PMT2/BK/2602/0005</t>
  </si>
  <si>
    <t>FR01/PO/26010011 PENULIS WIKIPEDIA INDONESIA</t>
  </si>
  <si>
    <t>PMT2/BK/2602/0071</t>
  </si>
  <si>
    <t>FR01/PO/26010007 EO PAMERAN DI THE PARK SAWANGAN 9-15 FEBRUARI 2026</t>
  </si>
  <si>
    <t>PMT2/BK/2602/0092</t>
  </si>
  <si>
    <t>PEMBAYARAN PBB JV 2 SUMMARECON TAHUN 2026</t>
  </si>
  <si>
    <t>PMT2/BK/2603/0008</t>
  </si>
  <si>
    <t>HLJC/PO/26030003 BORDIR SERAGAM TENAGA KERJA HARIAN</t>
  </si>
  <si>
    <t>PMT2/BK/2603/0009</t>
  </si>
  <si>
    <t>HLJC/PO/26030002 SERAGAM TENAGA KERJA HARIAN</t>
  </si>
  <si>
    <t>PMT2/BK/2603/0016</t>
  </si>
  <si>
    <t>SEWA SPACE OPEN TABLE LOKASI KAMPUNG KECIL CINERE TGL 9-15 MARET 2026</t>
  </si>
  <si>
    <t>PMT2/BK/2603/0019</t>
  </si>
  <si>
    <t>TP01/PO/26010003 FURNITURE SHOW UNIT APARTEMEN THE PARC SM 1132 - LEMARI KIDS ROOM - PELUNASAN 50%</t>
  </si>
  <si>
    <t>PMT2/BK/2603/0039</t>
  </si>
  <si>
    <t>UM ACARA BUKA PUASA BERSAMA KARYAWAN SOUTHCITY 13 MARET 2026</t>
  </si>
  <si>
    <t>BCA2/BK/2603/0049</t>
  </si>
  <si>
    <t>ADVANCE PEMBAYARAN KARTU KREDIT BCA  UNTUK TAGIHAN DROPBOX PERIODE 11/3/2026 - 11/3/2027</t>
  </si>
  <si>
    <t>PMT2/BK/2603/0078</t>
  </si>
  <si>
    <t>UM COMPLIMENTARY SHOW UNIT THE PARC BULAN MARET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</si>
</sst>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[$-409]d/mmm/yy"/>
  </numFmts>
  <fonts count="6">
    <font>
      <sz val="11.0"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  <font/>
    <font>
      <b/>
      <sz val="10.0"/>
      <color theme="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4546A"/>
        <bgColor rgb="FF44546A"/>
      </patternFill>
    </fill>
  </fills>
  <borders count="19">
    <border/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4" xfId="0" applyAlignment="1" applyFont="1" applyNumberFormat="1">
      <alignment horizontal="center"/>
    </xf>
    <xf borderId="0" fillId="0" fontId="2" numFmtId="165" xfId="0" applyFont="1" applyNumberFormat="1"/>
    <xf borderId="0" fillId="0" fontId="2" numFmtId="164" xfId="0" applyFont="1" applyNumberFormat="1"/>
    <xf borderId="1" fillId="0" fontId="2" numFmtId="165" xfId="0" applyAlignment="1" applyBorder="1" applyFont="1" applyNumberFormat="1">
      <alignment horizontal="center"/>
    </xf>
    <xf borderId="1" fillId="0" fontId="3" numFmtId="0" xfId="0" applyBorder="1" applyFont="1"/>
    <xf borderId="2" fillId="2" fontId="4" numFmtId="0" xfId="0" applyAlignment="1" applyBorder="1" applyFill="1" applyFont="1">
      <alignment horizontal="center" vertical="center"/>
    </xf>
    <xf borderId="3" fillId="2" fontId="4" numFmtId="0" xfId="0" applyAlignment="1" applyBorder="1" applyFill="1" applyFont="1">
      <alignment horizontal="center" vertical="center"/>
    </xf>
    <xf borderId="3" fillId="2" fontId="4" numFmtId="164" xfId="0" applyAlignment="1" applyBorder="1" applyFill="1" applyFont="1" applyNumberFormat="1">
      <alignment horizontal="center" vertical="center"/>
    </xf>
    <xf borderId="4" fillId="2" fontId="4" numFmtId="0" xfId="0" applyAlignment="1" applyBorder="1" applyFill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7" fillId="2" fontId="4" numFmtId="0" xfId="0" applyAlignment="1" applyBorder="1" applyFill="1" applyFont="1">
      <alignment horizontal="center" vertical="center"/>
    </xf>
    <xf borderId="8" fillId="2" fontId="4" numFmtId="0" xfId="0" applyAlignment="1" applyBorder="1" applyFill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2" fontId="4" numFmtId="165" xfId="0" applyAlignment="1" applyBorder="1" applyFill="1" applyFont="1" applyNumberFormat="1">
      <alignment horizontal="center"/>
    </xf>
    <xf borderId="12" fillId="2" fontId="4" numFmtId="165" xfId="0" applyAlignment="1" applyBorder="1" applyFill="1" applyFont="1" applyNumberFormat="1">
      <alignment horizontal="center"/>
    </xf>
    <xf borderId="12" fillId="2" fontId="4" numFmtId="164" xfId="0" applyAlignment="1" applyBorder="1" applyFill="1" applyFont="1" applyNumberFormat="1">
      <alignment horizontal="center"/>
    </xf>
    <xf borderId="13" fillId="0" fontId="3" numFmtId="0" xfId="0" applyBorder="1" applyFont="1"/>
    <xf borderId="14" fillId="0" fontId="3" numFmtId="0" xfId="0" applyBorder="1" applyFont="1"/>
    <xf borderId="15" fillId="0" fontId="2" numFmtId="14" xfId="0" applyBorder="1" applyFont="1" applyNumberFormat="1"/>
    <xf borderId="16" fillId="0" fontId="2" numFmtId="0" xfId="0" applyBorder="1" applyFont="1"/>
    <xf borderId="16" fillId="0" fontId="2" numFmtId="164" xfId="0" applyAlignment="1" applyBorder="1" applyFont="1" applyNumberFormat="1">
      <alignment horizontal="center"/>
    </xf>
    <xf borderId="0" fillId="0" fontId="5" numFmtId="14" xfId="0" applyAlignment="1" applyFont="1" applyNumberFormat="1">
      <alignment vertical="top"/>
    </xf>
    <xf borderId="16" fillId="0" fontId="2" numFmtId="165" xfId="0" applyBorder="1" applyFont="1" applyNumberFormat="1"/>
    <xf borderId="17" fillId="0" fontId="2" numFmtId="164" xfId="0" applyBorder="1" applyFont="1" applyNumberFormat="1"/>
    <xf borderId="16" fillId="0" fontId="2" numFmtId="164" xfId="0" applyBorder="1" applyFont="1" applyNumberFormat="1"/>
    <xf borderId="18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7.86"/>
    <col customWidth="1" min="3" max="3" width="93.43"/>
    <col customWidth="1" min="4" max="4" width="12.0"/>
    <col customWidth="1" min="5" max="5" width="10.57"/>
    <col customWidth="1" min="6" max="6" width="51.0"/>
    <col customWidth="1" min="7" max="8" width="12.0"/>
    <col customWidth="1" min="9" max="9" width="10.86"/>
    <col customWidth="1" min="10" max="26" width="8.71"/>
  </cols>
  <sheetData>
    <row r="1">
      <c r="A1" s="1" t="s">
        <v>0</v>
      </c>
      <c r="B1" s="2"/>
      <c r="C1" s="2"/>
      <c r="D1" s="3"/>
      <c r="E1" s="4"/>
      <c r="F1" s="4"/>
      <c r="G1" s="5"/>
      <c r="H1" s="2"/>
      <c r="I1" s="2"/>
    </row>
    <row r="2">
      <c r="A2" s="1" t="s">
        <v>1</v>
      </c>
      <c r="B2" s="2"/>
      <c r="C2" s="2"/>
      <c r="D2" s="3"/>
      <c r="E2" s="4"/>
      <c r="F2" s="4"/>
      <c r="G2" s="5"/>
      <c r="H2" s="2"/>
      <c r="I2" s="2"/>
    </row>
    <row r="3">
      <c r="A3" s="1" t="str">
        <f>#REF!</f>
        <v>#REF!</v>
      </c>
      <c r="B3" s="2"/>
      <c r="C3" s="2"/>
      <c r="D3" s="3"/>
      <c r="E3" s="4"/>
      <c r="F3" s="4"/>
      <c r="G3" s="5"/>
      <c r="H3" s="2"/>
      <c r="I3" s="2"/>
    </row>
    <row r="4">
      <c r="A4" s="1" t="s">
        <v>2</v>
      </c>
      <c r="B4" s="2"/>
      <c r="C4" s="2"/>
      <c r="D4" s="3"/>
      <c r="E4" s="2"/>
      <c r="F4" s="2"/>
    </row>
    <row r="5">
      <c r="A5" s="2"/>
      <c r="B5" s="2"/>
      <c r="C5" s="2"/>
      <c r="D5" s="3"/>
      <c r="E5" s="6"/>
      <c r="F5" s="7"/>
      <c r="G5" s="7"/>
      <c r="H5" s="2"/>
      <c r="I5" s="2"/>
    </row>
    <row r="6">
      <c r="A6" s="8" t="s">
        <v>3</v>
      </c>
      <c r="B6" s="9" t="s">
        <v>4</v>
      </c>
      <c r="C6" s="9" t="s">
        <v>5</v>
      </c>
      <c r="D6" s="10" t="s">
        <v>6</v>
      </c>
      <c r="E6" s="11" t="s">
        <v>7</v>
      </c>
      <c r="F6" s="12"/>
      <c r="G6" s="13"/>
      <c r="H6" s="14" t="s">
        <v>8</v>
      </c>
      <c r="I6" s="15" t="s">
        <v>5</v>
      </c>
    </row>
    <row r="7">
      <c r="A7" s="16"/>
      <c r="B7" s="17"/>
      <c r="C7" s="17"/>
      <c r="D7" s="17"/>
      <c r="E7" s="18" t="s">
        <v>3</v>
      </c>
      <c r="F7" s="19" t="s">
        <v>9</v>
      </c>
      <c r="G7" s="20" t="s">
        <v>6</v>
      </c>
      <c r="H7" s="21"/>
      <c r="I7" s="22"/>
    </row>
    <row r="8">
      <c r="A8" s="23">
        <v>46044.0</v>
      </c>
      <c r="B8" s="24" t="s">
        <v>10</v>
      </c>
      <c r="C8" s="24" t="s">
        <v>11</v>
      </c>
      <c r="D8" s="25">
        <v>2500000.0</v>
      </c>
      <c r="E8" s="26"/>
      <c r="F8" s="27"/>
      <c r="G8" s="28"/>
      <c r="H8" s="29">
        <f t="shared" ref="H8:H22" si="1">D8-G8</f>
        <v>2500000</v>
      </c>
      <c r="I8" s="30"/>
    </row>
    <row r="9">
      <c r="A9" s="23">
        <v>46044.0</v>
      </c>
      <c r="B9" s="24" t="s">
        <v>12</v>
      </c>
      <c r="C9" s="24" t="s">
        <v>13</v>
      </c>
      <c r="D9" s="25">
        <v>2.56959E7</v>
      </c>
      <c r="E9" s="26"/>
      <c r="F9" s="27"/>
      <c r="G9" s="28"/>
      <c r="H9" s="29">
        <f t="shared" si="1"/>
        <v>25695900</v>
      </c>
      <c r="I9" s="30"/>
    </row>
    <row r="10">
      <c r="A10" s="23">
        <v>46044.0</v>
      </c>
      <c r="B10" s="24" t="s">
        <v>14</v>
      </c>
      <c r="C10" s="24" t="s">
        <v>15</v>
      </c>
      <c r="D10" s="25">
        <v>1583700.0</v>
      </c>
      <c r="E10" s="26"/>
      <c r="F10" s="27"/>
      <c r="G10" s="28"/>
      <c r="H10" s="29">
        <f t="shared" si="1"/>
        <v>1583700</v>
      </c>
      <c r="I10" s="30"/>
    </row>
    <row r="11">
      <c r="A11" s="23">
        <v>46044.0</v>
      </c>
      <c r="B11" s="24" t="s">
        <v>16</v>
      </c>
      <c r="C11" s="24" t="s">
        <v>17</v>
      </c>
      <c r="D11" s="25">
        <v>1750000.0</v>
      </c>
      <c r="E11" s="26"/>
      <c r="F11" s="27"/>
      <c r="G11" s="28"/>
      <c r="H11" s="29">
        <f t="shared" si="1"/>
        <v>1750000</v>
      </c>
      <c r="I11" s="30"/>
    </row>
    <row r="12">
      <c r="A12" s="23">
        <v>46058.0</v>
      </c>
      <c r="B12" s="24" t="s">
        <v>18</v>
      </c>
      <c r="C12" s="24" t="s">
        <v>19</v>
      </c>
      <c r="D12" s="25">
        <v>1.0355E7</v>
      </c>
      <c r="E12" s="26"/>
      <c r="F12" s="27"/>
      <c r="G12" s="28"/>
      <c r="H12" s="29">
        <f t="shared" si="1"/>
        <v>10355000</v>
      </c>
      <c r="I12" s="30"/>
    </row>
    <row r="13">
      <c r="A13" s="23">
        <v>46058.0</v>
      </c>
      <c r="B13" s="24" t="s">
        <v>20</v>
      </c>
      <c r="C13" s="24" t="s">
        <v>21</v>
      </c>
      <c r="D13" s="25">
        <v>304000.0</v>
      </c>
      <c r="E13" s="26"/>
      <c r="F13" s="27"/>
      <c r="G13" s="28"/>
      <c r="H13" s="29">
        <f t="shared" si="1"/>
        <v>304000</v>
      </c>
      <c r="I13" s="30"/>
    </row>
    <row r="14">
      <c r="A14" s="23">
        <v>46065.0</v>
      </c>
      <c r="B14" s="24" t="s">
        <v>22</v>
      </c>
      <c r="C14" s="24" t="s">
        <v>23</v>
      </c>
      <c r="D14" s="25">
        <v>2.507E7</v>
      </c>
      <c r="E14" s="26"/>
      <c r="F14" s="27"/>
      <c r="G14" s="28"/>
      <c r="H14" s="29">
        <f t="shared" si="1"/>
        <v>25070000</v>
      </c>
      <c r="I14" s="30"/>
    </row>
    <row r="15">
      <c r="A15" s="23">
        <v>46078.0</v>
      </c>
      <c r="B15" s="24" t="s">
        <v>24</v>
      </c>
      <c r="C15" s="24" t="s">
        <v>25</v>
      </c>
      <c r="D15" s="25">
        <v>4.22974179E8</v>
      </c>
      <c r="E15" s="26"/>
      <c r="F15" s="27"/>
      <c r="G15" s="28"/>
      <c r="H15" s="29">
        <f t="shared" si="1"/>
        <v>422974179</v>
      </c>
      <c r="I15" s="30"/>
    </row>
    <row r="16">
      <c r="A16" s="23">
        <v>46086.0</v>
      </c>
      <c r="B16" s="24" t="s">
        <v>26</v>
      </c>
      <c r="C16" s="24" t="s">
        <v>27</v>
      </c>
      <c r="D16" s="25">
        <v>2790000.0</v>
      </c>
      <c r="E16" s="26"/>
      <c r="F16" s="27"/>
      <c r="G16" s="28"/>
      <c r="H16" s="29">
        <f t="shared" si="1"/>
        <v>2790000</v>
      </c>
      <c r="I16" s="30"/>
    </row>
    <row r="17">
      <c r="A17" s="23">
        <v>46086.0</v>
      </c>
      <c r="B17" s="24" t="s">
        <v>28</v>
      </c>
      <c r="C17" s="24" t="s">
        <v>29</v>
      </c>
      <c r="D17" s="25">
        <v>3780000.0</v>
      </c>
      <c r="E17" s="26"/>
      <c r="F17" s="27"/>
      <c r="G17" s="28"/>
      <c r="H17" s="29">
        <f t="shared" si="1"/>
        <v>3780000</v>
      </c>
      <c r="I17" s="30"/>
    </row>
    <row r="18">
      <c r="A18" s="23">
        <v>46086.0</v>
      </c>
      <c r="B18" s="24" t="s">
        <v>30</v>
      </c>
      <c r="C18" s="24" t="s">
        <v>31</v>
      </c>
      <c r="D18" s="25">
        <v>4202100.0</v>
      </c>
      <c r="E18" s="26"/>
      <c r="F18" s="27"/>
      <c r="G18" s="28"/>
      <c r="H18" s="29">
        <f t="shared" si="1"/>
        <v>4202100</v>
      </c>
      <c r="I18" s="30"/>
    </row>
    <row r="19">
      <c r="A19" s="23">
        <v>46086.0</v>
      </c>
      <c r="B19" s="24" t="s">
        <v>32</v>
      </c>
      <c r="C19" s="24" t="s">
        <v>33</v>
      </c>
      <c r="D19" s="25">
        <v>3300000.0</v>
      </c>
      <c r="E19" s="26"/>
      <c r="F19" s="27"/>
      <c r="G19" s="28"/>
      <c r="H19" s="29">
        <f t="shared" si="1"/>
        <v>3300000</v>
      </c>
      <c r="I19" s="30"/>
    </row>
    <row r="20">
      <c r="A20" s="23">
        <v>46093.0</v>
      </c>
      <c r="B20" s="24" t="s">
        <v>34</v>
      </c>
      <c r="C20" s="24" t="s">
        <v>35</v>
      </c>
      <c r="D20" s="25">
        <v>3500000.0</v>
      </c>
      <c r="E20" s="26"/>
      <c r="F20" s="27"/>
      <c r="G20" s="28"/>
      <c r="H20" s="29">
        <f t="shared" si="1"/>
        <v>3500000</v>
      </c>
      <c r="I20" s="30"/>
    </row>
    <row r="21" ht="15.75" customHeight="1">
      <c r="A21" s="23">
        <v>46095.0</v>
      </c>
      <c r="B21" s="24" t="s">
        <v>36</v>
      </c>
      <c r="C21" s="24" t="s">
        <v>37</v>
      </c>
      <c r="D21" s="25">
        <v>6.0E7</v>
      </c>
      <c r="E21" s="26"/>
      <c r="F21" s="27"/>
      <c r="G21" s="28"/>
      <c r="H21" s="29">
        <f t="shared" si="1"/>
        <v>60000000</v>
      </c>
      <c r="I21" s="30"/>
    </row>
    <row r="22" ht="15.75" customHeight="1">
      <c r="A22" s="23">
        <v>46107.0</v>
      </c>
      <c r="B22" s="24" t="s">
        <v>38</v>
      </c>
      <c r="C22" s="24" t="s">
        <v>39</v>
      </c>
      <c r="D22" s="25">
        <v>2602000.0</v>
      </c>
      <c r="E22" s="26"/>
      <c r="F22" s="27"/>
      <c r="G22" s="28"/>
      <c r="H22" s="29">
        <f t="shared" si="1"/>
        <v>2602000</v>
      </c>
      <c r="I22" s="3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E5:G5"/>
    <mergeCell ref="A6:A7"/>
    <mergeCell ref="B6:B7"/>
    <mergeCell ref="C6:C7"/>
    <mergeCell ref="D6:D7"/>
    <mergeCell ref="E6:G6"/>
    <mergeCell ref="H6:H7"/>
    <mergeCell ref="I6:I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2026-10-01T07:21:33Z</dcterms:created>
  <dc:creator>ego pamungkas</dc:creator>
</cp:coreProperties>
</file>